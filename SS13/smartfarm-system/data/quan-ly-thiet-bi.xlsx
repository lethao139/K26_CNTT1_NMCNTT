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-muc-linh-kien" sheetId="1" state="visible" r:id="rId1"/>
    <sheet xmlns:r="http://schemas.openxmlformats.org/officeDocument/2006/relationships" name="trang-thai-tram" sheetId="2" state="visible" r:id="rId2"/>
  </sheets>
  <definedNames>
    <definedName name="_xlnm._FilterDatabase" localSheetId="1" hidden="1">'trang-thai-tram'!$A$1:$F$11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ma_linh_kien</t>
        </is>
      </c>
      <c r="B1" s="1" t="inlineStr">
        <is>
          <t>ten_thiet_bi</t>
        </is>
      </c>
      <c r="C1" s="1" t="inlineStr">
        <is>
          <t>don_gia</t>
        </is>
      </c>
      <c r="D1" s="1" t="inlineStr">
        <is>
          <t>loai_storage</t>
        </is>
      </c>
    </row>
    <row r="2">
      <c r="A2" t="inlineStr">
        <is>
          <t>LK01</t>
        </is>
      </c>
      <c r="B2" t="inlineStr">
        <is>
          <t>Raspberry Pi 4 Model B</t>
        </is>
      </c>
      <c r="C2" t="n">
        <v>1450000</v>
      </c>
      <c r="D2" t="inlineStr">
        <is>
          <t>SSD</t>
        </is>
      </c>
    </row>
    <row r="3">
      <c r="A3" t="inlineStr">
        <is>
          <t>LK02</t>
        </is>
      </c>
      <c r="B3" t="inlineStr">
        <is>
          <t>Intel NUC i3</t>
        </is>
      </c>
      <c r="C3" t="n">
        <v>6200000</v>
      </c>
      <c r="D3" t="inlineStr">
        <is>
          <t>SSD</t>
        </is>
      </c>
    </row>
    <row r="4">
      <c r="A4" t="inlineStr">
        <is>
          <t>LK03</t>
        </is>
      </c>
      <c r="B4" t="inlineStr">
        <is>
          <t>Orange Pi 5</t>
        </is>
      </c>
      <c r="C4" t="n">
        <v>2300000</v>
      </c>
      <c r="D4" t="inlineStr">
        <is>
          <t>SSD</t>
        </is>
      </c>
    </row>
    <row r="5">
      <c r="A5" t="inlineStr">
        <is>
          <t>LK04</t>
        </is>
      </c>
      <c r="B5" t="inlineStr">
        <is>
          <t>Dell Optiplex Micro</t>
        </is>
      </c>
      <c r="C5" t="n">
        <v>5400000</v>
      </c>
      <c r="D5" t="inlineStr">
        <is>
          <t>HDD</t>
        </is>
      </c>
    </row>
    <row r="6">
      <c r="A6" t="inlineStr">
        <is>
          <t>LK05</t>
        </is>
      </c>
      <c r="B6" t="inlineStr">
        <is>
          <t>Mini PC Fanless N100</t>
        </is>
      </c>
      <c r="C6" t="n">
        <v>4200000</v>
      </c>
      <c r="D6" t="inlineStr">
        <is>
          <t>SSD</t>
        </is>
      </c>
    </row>
    <row r="7">
      <c r="A7" t="inlineStr">
        <is>
          <t>LK06</t>
        </is>
      </c>
      <c r="B7" t="inlineStr">
        <is>
          <t>Synology DS220j NAS</t>
        </is>
      </c>
      <c r="C7" t="n">
        <v>3900000</v>
      </c>
      <c r="D7" t="inlineStr">
        <is>
          <t>HDD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ma_tram</t>
        </is>
      </c>
      <c r="B1" s="1" t="inlineStr">
        <is>
          <t>ma_linh_kien</t>
        </is>
      </c>
      <c r="C1" s="1" t="inlineStr">
        <is>
          <t>dung_luong_ram</t>
        </is>
      </c>
      <c r="D1" s="1" t="inlineStr">
        <is>
          <t>ngay_lap_dat</t>
        </is>
      </c>
      <c r="E1" s="1" t="inlineStr">
        <is>
          <t>ma_linh_kien_sach</t>
        </is>
      </c>
      <c r="F1" s="1" t="inlineStr">
        <is>
          <t>ten_thiet_bi</t>
        </is>
      </c>
    </row>
    <row r="2">
      <c r="A2" t="inlineStr">
        <is>
          <t>ST01</t>
        </is>
      </c>
      <c r="B2" t="inlineStr">
        <is>
          <t>LK02</t>
        </is>
      </c>
      <c r="C2" t="n">
        <v>16</v>
      </c>
      <c r="D2" t="inlineStr">
        <is>
          <t>12/03/2026</t>
        </is>
      </c>
      <c r="E2">
        <f>TRIM(B2)</f>
        <v/>
      </c>
      <c r="F2">
        <f>VLOOKUP(E2,'danh-muc-linh-kien'!$A$2:$D$7,2,FALSE)</f>
        <v/>
      </c>
    </row>
    <row r="3">
      <c r="A3" t="inlineStr">
        <is>
          <t>ST02</t>
        </is>
      </c>
      <c r="B3" t="inlineStr">
        <is>
          <t xml:space="preserve"> LK01</t>
        </is>
      </c>
      <c r="C3" t="n">
        <v>4</v>
      </c>
      <c r="D3" t="inlineStr">
        <is>
          <t>15/03/2026</t>
        </is>
      </c>
      <c r="E3">
        <f>TRIM(B3)</f>
        <v/>
      </c>
      <c r="F3">
        <f>VLOOKUP(E3,'danh-muc-linh-kien'!$A$2:$D$7,2,FALSE)</f>
        <v/>
      </c>
    </row>
    <row r="4">
      <c r="A4" t="inlineStr">
        <is>
          <t>ST03</t>
        </is>
      </c>
      <c r="B4" t="inlineStr">
        <is>
          <t xml:space="preserve">LK05 </t>
        </is>
      </c>
      <c r="C4" t="n">
        <v>8</v>
      </c>
      <c r="D4" t="inlineStr">
        <is>
          <t>02/04/2026</t>
        </is>
      </c>
      <c r="E4">
        <f>TRIM(B4)</f>
        <v/>
      </c>
      <c r="F4">
        <f>VLOOKUP(E4,'danh-muc-linh-kien'!$A$2:$D$7,2,FALSE)</f>
        <v/>
      </c>
    </row>
    <row r="5">
      <c r="A5" t="inlineStr">
        <is>
          <t>ST04</t>
        </is>
      </c>
      <c r="B5" t="inlineStr">
        <is>
          <t>LK03</t>
        </is>
      </c>
      <c r="C5" t="n">
        <v>8</v>
      </c>
      <c r="D5" t="inlineStr">
        <is>
          <t>09/04/2026</t>
        </is>
      </c>
      <c r="E5">
        <f>TRIM(B5)</f>
        <v/>
      </c>
      <c r="F5">
        <f>VLOOKUP(E5,'danh-muc-linh-kien'!$A$2:$D$7,2,FALSE)</f>
        <v/>
      </c>
    </row>
    <row r="6">
      <c r="A6" t="inlineStr">
        <is>
          <t>ST05</t>
        </is>
      </c>
      <c r="B6" t="inlineStr">
        <is>
          <t xml:space="preserve">LK02 </t>
        </is>
      </c>
      <c r="C6" t="n">
        <v>16</v>
      </c>
      <c r="D6" t="inlineStr">
        <is>
          <t>21/04/2026</t>
        </is>
      </c>
      <c r="E6">
        <f>TRIM(B6)</f>
        <v/>
      </c>
      <c r="F6">
        <f>VLOOKUP(E6,'danh-muc-linh-kien'!$A$2:$D$7,2,FALSE)</f>
        <v/>
      </c>
    </row>
    <row r="7">
      <c r="A7" t="inlineStr">
        <is>
          <t>ST06</t>
        </is>
      </c>
      <c r="B7" t="inlineStr">
        <is>
          <t>LK06</t>
        </is>
      </c>
      <c r="C7" t="n">
        <v>4</v>
      </c>
      <c r="D7" t="inlineStr">
        <is>
          <t>05/05/2026</t>
        </is>
      </c>
      <c r="E7">
        <f>TRIM(B7)</f>
        <v/>
      </c>
      <c r="F7">
        <f>VLOOKUP(E7,'danh-muc-linh-kien'!$A$2:$D$7,2,FALSE)</f>
        <v/>
      </c>
    </row>
    <row r="8">
      <c r="A8" t="inlineStr">
        <is>
          <t>ST07</t>
        </is>
      </c>
      <c r="B8" t="inlineStr">
        <is>
          <t>LK01</t>
        </is>
      </c>
      <c r="C8" t="n">
        <v>4</v>
      </c>
      <c r="D8" t="inlineStr">
        <is>
          <t>18/05/2026</t>
        </is>
      </c>
      <c r="E8">
        <f>TRIM(B8)</f>
        <v/>
      </c>
      <c r="F8">
        <f>VLOOKUP(E8,'danh-muc-linh-kien'!$A$2:$D$7,2,FALSE)</f>
        <v/>
      </c>
    </row>
    <row r="9">
      <c r="A9" t="inlineStr">
        <is>
          <t>ST08</t>
        </is>
      </c>
      <c r="B9" t="inlineStr">
        <is>
          <t xml:space="preserve"> LK04</t>
        </is>
      </c>
      <c r="C9" t="n">
        <v>8</v>
      </c>
      <c r="D9" t="inlineStr">
        <is>
          <t>01/06/2026</t>
        </is>
      </c>
      <c r="E9">
        <f>TRIM(B9)</f>
        <v/>
      </c>
      <c r="F9">
        <f>VLOOKUP(E9,'danh-muc-linh-kien'!$A$2:$D$7,2,FALSE)</f>
        <v/>
      </c>
    </row>
    <row r="10">
      <c r="A10" t="inlineStr">
        <is>
          <t>ST09</t>
        </is>
      </c>
      <c r="B10" t="inlineStr">
        <is>
          <t>LK03</t>
        </is>
      </c>
      <c r="C10" t="n">
        <v>8</v>
      </c>
      <c r="D10" t="inlineStr">
        <is>
          <t>14/06/2026</t>
        </is>
      </c>
      <c r="E10">
        <f>TRIM(B10)</f>
        <v/>
      </c>
      <c r="F10">
        <f>VLOOKUP(E10,'danh-muc-linh-kien'!$A$2:$D$7,2,FALSE)</f>
        <v/>
      </c>
    </row>
    <row r="11">
      <c r="A11" t="inlineStr">
        <is>
          <t>ST10</t>
        </is>
      </c>
      <c r="B11" t="inlineStr">
        <is>
          <t>LK05</t>
        </is>
      </c>
      <c r="C11" t="n">
        <v>8</v>
      </c>
      <c r="D11" t="inlineStr">
        <is>
          <t>03/07/2026</t>
        </is>
      </c>
      <c r="E11">
        <f>TRIM(B11)</f>
        <v/>
      </c>
      <c r="F11">
        <f>VLOOKUP(E11,'danh-muc-linh-kien'!$A$2:$D$7,2,FALSE)</f>
        <v/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M365 Copilot</dc:creator>
  <dcterms:created xsi:type="dcterms:W3CDTF">2026-10-29T05:31:53.9523026Z</dcterms:created>
  <dcterms:modified xsi:type="dcterms:W3CDTF">2026-10-29T05:31:53.9523026Z</dcterms:modified>
  <lastModifiedBy>M365 Copilot</lastModifiedBy>
</coreProperties>
</file>