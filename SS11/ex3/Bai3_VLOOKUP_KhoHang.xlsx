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Tich" sheetId="1" state="visible" r:id="rId1"/>
    <sheet xmlns:r="http://schemas.openxmlformats.org/officeDocument/2006/relationships" name="Danh_Muc" sheetId="2" state="visible" r:id="rId2"/>
    <sheet xmlns:r="http://schemas.openxmlformats.org/officeDocument/2006/relationships" name="Don_Hang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Tham số VLOOKUP</t>
        </is>
      </c>
      <c r="B1" t="inlineStr">
        <is>
          <t>Ý nghĩa</t>
        </is>
      </c>
    </row>
    <row r="2">
      <c r="A2" t="inlineStr">
        <is>
          <t>Lookup_value</t>
        </is>
      </c>
      <c r="B2" t="inlineStr">
        <is>
          <t>Mã linh kiện trong Don_Hang (ví dụ A2)</t>
        </is>
      </c>
    </row>
    <row r="3">
      <c r="A3" t="inlineStr">
        <is>
          <t>Table_array</t>
        </is>
      </c>
      <c r="B3" t="inlineStr">
        <is>
          <t>Bảng Danh_Muc!$A$2:$C$101</t>
        </is>
      </c>
    </row>
    <row r="4">
      <c r="A4" t="inlineStr">
        <is>
          <t>Col_index_num</t>
        </is>
      </c>
      <c r="B4" t="inlineStr">
        <is>
          <t>2= Tên linh kiện, 3= Đơn giá</t>
        </is>
      </c>
    </row>
    <row r="5">
      <c r="A5" t="inlineStr">
        <is>
          <t>Range_lookup</t>
        </is>
      </c>
      <c r="B5" t="inlineStr">
        <is>
          <t>FALSE để tìm chính xác mã linh kiện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linh kiện</t>
        </is>
      </c>
      <c r="B1" t="inlineStr">
        <is>
          <t>Tên linh kiện</t>
        </is>
      </c>
      <c r="C1" t="inlineStr">
        <is>
          <t>Đơn giá</t>
        </is>
      </c>
    </row>
    <row r="2">
      <c r="A2" t="inlineStr">
        <is>
          <t xml:space="preserve">LK01 </t>
        </is>
      </c>
      <c r="B2" t="inlineStr">
        <is>
          <t>Điện trở 10KΩ</t>
        </is>
      </c>
      <c r="C2" t="n">
        <v>100</v>
      </c>
    </row>
    <row r="3">
      <c r="A3" t="inlineStr">
        <is>
          <t>LK02</t>
        </is>
      </c>
      <c r="B3" t="inlineStr">
        <is>
          <t>Tụ điện 100nF</t>
        </is>
      </c>
      <c r="C3" t="n">
        <v>200</v>
      </c>
    </row>
    <row r="4">
      <c r="A4" t="inlineStr">
        <is>
          <t>LK03</t>
        </is>
      </c>
      <c r="B4" t="inlineStr">
        <is>
          <t>IC 74HC595</t>
        </is>
      </c>
      <c r="C4" t="n">
        <v>8500</v>
      </c>
    </row>
    <row r="5">
      <c r="A5" t="inlineStr">
        <is>
          <t>LK04</t>
        </is>
      </c>
      <c r="B5" t="inlineStr">
        <is>
          <t>LED 5mm</t>
        </is>
      </c>
      <c r="C5" t="n">
        <v>300</v>
      </c>
    </row>
    <row r="6">
      <c r="A6" t="inlineStr">
        <is>
          <t xml:space="preserve">LK05 </t>
        </is>
      </c>
      <c r="B6" t="inlineStr">
        <is>
          <t>Module WiFi ESP8266</t>
        </is>
      </c>
      <c r="C6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linh kiện</t>
        </is>
      </c>
      <c r="B1" t="inlineStr">
        <is>
          <t>Tên linh kiện</t>
        </is>
      </c>
      <c r="C1" t="inlineStr">
        <is>
          <t>Đơn giá</t>
        </is>
      </c>
    </row>
    <row r="2">
      <c r="A2" t="inlineStr">
        <is>
          <t>LK01</t>
        </is>
      </c>
      <c r="B2">
        <f>IFERROR(VLOOKUP(TRIM(A2),Danh_Muc!$A$2:$C$101,2,FALSE),"Không tìm thấy mã")</f>
        <v/>
      </c>
      <c r="C2">
        <f>IFERROR(VLOOKUP(TRIM(A2),Danh_Muc!$A$2:$C$101,3,FALSE),0)</f>
        <v/>
      </c>
    </row>
    <row r="3">
      <c r="A3" t="inlineStr">
        <is>
          <t>LK02</t>
        </is>
      </c>
      <c r="B3">
        <f>IFERROR(VLOOKUP(TRIM(A3),Danh_Muc!$A$2:$C$101,2,FALSE),"Không tìm thấy mã")</f>
        <v/>
      </c>
      <c r="C3">
        <f>IFERROR(VLOOKUP(TRIM(A3),Danh_Muc!$A$2:$C$101,3,FALSE),0)</f>
        <v/>
      </c>
    </row>
    <row r="4">
      <c r="A4" t="inlineStr">
        <is>
          <t>LK03</t>
        </is>
      </c>
      <c r="B4">
        <f>IFERROR(VLOOKUP(TRIM(A4),Danh_Muc!$A$2:$C$101,2,FALSE),"Không tìm thấy mã")</f>
        <v/>
      </c>
      <c r="C4">
        <f>IFERROR(VLOOKUP(TRIM(A4),Danh_Muc!$A$2:$C$101,3,FALSE),0)</f>
        <v/>
      </c>
    </row>
    <row r="5">
      <c r="A5" t="inlineStr">
        <is>
          <t>LK04</t>
        </is>
      </c>
      <c r="B5">
        <f>IFERROR(VLOOKUP(TRIM(A5),Danh_Muc!$A$2:$C$101,2,FALSE),"Không tìm thấy mã")</f>
        <v/>
      </c>
      <c r="C5">
        <f>IFERROR(VLOOKUP(TRIM(A5),Danh_Muc!$A$2:$C$101,3,FALSE),0)</f>
        <v/>
      </c>
    </row>
    <row r="6">
      <c r="A6" t="inlineStr">
        <is>
          <t>LK05</t>
        </is>
      </c>
      <c r="B6">
        <f>IFERROR(VLOOKUP(TRIM(A6),Danh_Muc!$A$2:$C$101,2,FALSE),"Không tìm thấy mã")</f>
        <v/>
      </c>
      <c r="C6">
        <f>IFERROR(VLOOKUP(TRIM(A6),Danh_Muc!$A$2:$C$101,3,FALSE),0)</f>
        <v/>
      </c>
    </row>
    <row r="7">
      <c r="A7" t="inlineStr">
        <is>
          <t>LK99</t>
        </is>
      </c>
      <c r="B7">
        <f>IFERROR(VLOOKUP(TRIM(A7),Danh_Muc!$A$2:$C$101,2,FALSE),"Không tìm thấy mã")</f>
        <v/>
      </c>
      <c r="C7">
        <f>IFERROR(VLOOKUP(TRIM(A7),Danh_Muc!$A$2:$C$101,3,FALSE),0)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Bẫy 1: Quên dấu $ sẽ làm vùng tra cứu bị trôi khi kéo công thức.</t>
        </is>
      </c>
    </row>
    <row r="2">
      <c r="A2" t="inlineStr">
        <is>
          <t>Bẫy 2: Dùng TRIM để xử lý mã có khoảng trắng thừa.</t>
        </is>
      </c>
    </row>
    <row r="4">
      <c r="A4" t="inlineStr">
        <is>
          <t>Công thức mẫu:</t>
        </is>
      </c>
    </row>
    <row r="5">
      <c r="A5">
        <f>IFERROR(VLOOKUP(TRIM(A2),Danh_Muc!$A$2:$C$101,2,FALSE),"Không tìm thấy mã")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2026-10-26T03:00:32.6818196Z</dcterms:created>
  <dcterms:modified xsi:type="dcterms:W3CDTF">2026-10-26T03:00:32.6818196Z</dcterms:modified>
  <lastModifiedBy>M365 Copilot</lastModifiedBy>
</coreProperties>
</file>